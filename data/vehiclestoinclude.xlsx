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wuser/Downloads/"/>
    </mc:Choice>
  </mc:AlternateContent>
  <xr:revisionPtr revIDLastSave="0" documentId="8_{E9DAB879-6D7C-2242-866A-3CEE1E7BF2FE}" xr6:coauthVersionLast="47" xr6:coauthVersionMax="47" xr10:uidLastSave="{00000000-0000-0000-0000-000000000000}"/>
  <bookViews>
    <workbookView xWindow="40" yWindow="600" windowWidth="28800" windowHeight="17400" xr2:uid="{59662A02-A679-1A48-A8B1-5C898305C631}"/>
  </bookViews>
  <sheets>
    <sheet name="topsellingca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21" i="1"/>
  <c r="G36" i="1"/>
  <c r="G43" i="1"/>
  <c r="G33" i="1"/>
  <c r="G55" i="1"/>
  <c r="G45" i="1"/>
  <c r="G27" i="1"/>
  <c r="G25" i="1"/>
  <c r="G2" i="1"/>
  <c r="G37" i="1"/>
  <c r="G20" i="1"/>
  <c r="G22" i="1"/>
  <c r="G9" i="1"/>
  <c r="G54" i="1"/>
  <c r="G26" i="1"/>
  <c r="G13" i="1"/>
  <c r="G44" i="1"/>
  <c r="G12" i="1"/>
  <c r="G11" i="1"/>
  <c r="G56" i="1"/>
  <c r="G39" i="1"/>
  <c r="G57" i="1"/>
  <c r="G28" i="1"/>
  <c r="G34" i="1"/>
  <c r="G7" i="1"/>
  <c r="G8" i="1"/>
  <c r="G41" i="1"/>
  <c r="G3" i="1"/>
  <c r="G16" i="1"/>
  <c r="G17" i="1"/>
  <c r="G62" i="1"/>
  <c r="G24" i="1"/>
  <c r="G35" i="1"/>
  <c r="G49" i="1"/>
  <c r="G60" i="1"/>
  <c r="G42" i="1"/>
  <c r="G30" i="1"/>
  <c r="G32" i="1"/>
  <c r="G48" i="1"/>
  <c r="G31" i="1"/>
  <c r="G50" i="1"/>
  <c r="G51" i="1"/>
  <c r="G61" i="1"/>
  <c r="G52" i="1"/>
  <c r="G38" i="1"/>
  <c r="G47" i="1"/>
  <c r="G10" i="1"/>
  <c r="G18" i="1"/>
  <c r="G40" i="1"/>
  <c r="G19" i="1"/>
  <c r="G4" i="1"/>
  <c r="G5" i="1"/>
  <c r="G29" i="1"/>
  <c r="G58" i="1"/>
  <c r="G59" i="1"/>
  <c r="G6" i="1"/>
  <c r="G15" i="1"/>
  <c r="G14" i="1"/>
  <c r="G23" i="1"/>
  <c r="G53" i="1"/>
</calcChain>
</file>

<file path=xl/sharedStrings.xml><?xml version="1.0" encoding="utf-8"?>
<sst xmlns="http://schemas.openxmlformats.org/spreadsheetml/2006/main" count="192" uniqueCount="150">
  <si>
    <t>Make</t>
  </si>
  <si>
    <t>Tesla</t>
  </si>
  <si>
    <t>Ford</t>
  </si>
  <si>
    <t>RAM</t>
  </si>
  <si>
    <t>Chevrolet</t>
  </si>
  <si>
    <t>Silverado</t>
  </si>
  <si>
    <t>Toyota</t>
  </si>
  <si>
    <t>MSRP</t>
  </si>
  <si>
    <t>Manufacture_Emissions_tCO2</t>
  </si>
  <si>
    <t>Production_Emissions</t>
  </si>
  <si>
    <t>Battery_Emissions</t>
  </si>
  <si>
    <t>Model Y Long Range AWD</t>
  </si>
  <si>
    <t>Model Y | Long Range AWD</t>
  </si>
  <si>
    <t>1500 4WD</t>
  </si>
  <si>
    <t>epa_id</t>
  </si>
  <si>
    <t>F150 Pickup 4WD</t>
  </si>
  <si>
    <t>RAV4 | AWD</t>
  </si>
  <si>
    <t>Model_EPA</t>
  </si>
  <si>
    <t>Model_CarbonCounter</t>
  </si>
  <si>
    <t>Nissan</t>
  </si>
  <si>
    <t>Leaf (62 kW-hr battery pack)</t>
  </si>
  <si>
    <t>Leaf (40 kW-hr battery pack)</t>
  </si>
  <si>
    <t>Leaf (40 kW-hr battery pack)</t>
  </si>
  <si>
    <t>Civic 4Dr</t>
  </si>
  <si>
    <t>Leaf (62 kW-hr battery pack)</t>
  </si>
  <si>
    <t>Hyundai</t>
  </si>
  <si>
    <t>Kona Electric</t>
  </si>
  <si>
    <t>Equinox AWD</t>
  </si>
  <si>
    <t>Chevrolet Equinox | AWD</t>
  </si>
  <si>
    <t>EV6 AWD (Long Range)</t>
  </si>
  <si>
    <t>Kia</t>
  </si>
  <si>
    <t>Year _EPA</t>
  </si>
  <si>
    <t>Honda</t>
  </si>
  <si>
    <t>Model 3 | Performance AWD</t>
  </si>
  <si>
    <t>Model 3 Performance AWD</t>
  </si>
  <si>
    <t>Model S Base AWD</t>
  </si>
  <si>
    <t>Model X | Base</t>
  </si>
  <si>
    <t>Model X Base</t>
  </si>
  <si>
    <t>Mustang Mach-E AWD Extended</t>
  </si>
  <si>
    <t>Model S  Base</t>
  </si>
  <si>
    <t>Mustang Mach-E  AWD Extended</t>
  </si>
  <si>
    <t>1500 4WD 3.6L 6Cyl</t>
  </si>
  <si>
    <t>F150 | 4WD 2.7L 6Cyl</t>
  </si>
  <si>
    <t>Silverado | 4WD 5.3L 8Cyl</t>
  </si>
  <si>
    <t>Chevrolet </t>
  </si>
  <si>
    <t>Bolt EV</t>
  </si>
  <si>
    <t>Bolt EUV</t>
  </si>
  <si>
    <t>Hyundai </t>
  </si>
  <si>
    <t>Ioniq 6</t>
  </si>
  <si>
    <t>Ioniq</t>
  </si>
  <si>
    <t>Prologue</t>
  </si>
  <si>
    <t>Ariya</t>
  </si>
  <si>
    <t>Cadillac</t>
  </si>
  <si>
    <t>Lyriq</t>
  </si>
  <si>
    <t>Lexus </t>
  </si>
  <si>
    <t>RZ</t>
  </si>
  <si>
    <t>Rivian</t>
  </si>
  <si>
    <t>R1S</t>
  </si>
  <si>
    <t>R1T</t>
  </si>
  <si>
    <t>Subaru</t>
  </si>
  <si>
    <t>Solterra</t>
  </si>
  <si>
    <t>BMW</t>
  </si>
  <si>
    <t>I4</t>
  </si>
  <si>
    <t>Audi </t>
  </si>
  <si>
    <t>IX</t>
  </si>
  <si>
    <t>Silverado EV</t>
  </si>
  <si>
    <t xml:space="preserve">Hyundai </t>
  </si>
  <si>
    <t>Kona</t>
  </si>
  <si>
    <t>F-150 Lightning AWD</t>
  </si>
  <si>
    <t>F-150 Lightning Base</t>
  </si>
  <si>
    <t xml:space="preserve">Leaf </t>
  </si>
  <si>
    <t>Leaf Base</t>
  </si>
  <si>
    <t>Civic 4Dr ICEV</t>
  </si>
  <si>
    <t>Hyundai Kona Electric</t>
  </si>
  <si>
    <t>Kona AWD 2.0L 4Cyl</t>
  </si>
  <si>
    <t>Equinox EV AWD</t>
  </si>
  <si>
    <t>Kia EV6 Long Range AWD</t>
  </si>
  <si>
    <t>Niro Electric</t>
  </si>
  <si>
    <t>Ioniq 5 Long Range</t>
  </si>
  <si>
    <t>Ioniq 5 Long Range AWD</t>
  </si>
  <si>
    <t>Ioniq 6 AWD</t>
  </si>
  <si>
    <t>Prologue FWD</t>
  </si>
  <si>
    <t>Ariya ENGAGE e-4ORCE 63kWh</t>
  </si>
  <si>
    <t>Lyriq Base</t>
  </si>
  <si>
    <t>RZ 300e</t>
  </si>
  <si>
    <t>R1S Base</t>
  </si>
  <si>
    <t>R1T Base</t>
  </si>
  <si>
    <t>BZ AWD</t>
  </si>
  <si>
    <t>Toyota bZ4X AWD</t>
  </si>
  <si>
    <t>Cybertruck Long Range</t>
  </si>
  <si>
    <t>Long Range AWD</t>
  </si>
  <si>
    <t>Solterra Base</t>
  </si>
  <si>
    <t>I4 eDrive40 Gran Coupe</t>
  </si>
  <si>
    <t>Q6 e-tron Base</t>
  </si>
  <si>
    <t>iX Base</t>
  </si>
  <si>
    <t xml:space="preserve">Silverado EV </t>
  </si>
  <si>
    <t>EV 9 Long Range AWD</t>
  </si>
  <si>
    <t>EV9 Long Range AWD</t>
  </si>
  <si>
    <t>Ioniq Electric</t>
  </si>
  <si>
    <t xml:space="preserve">Toyota </t>
  </si>
  <si>
    <t>Tacoma</t>
  </si>
  <si>
    <t xml:space="preserve">BMW </t>
  </si>
  <si>
    <t>X5</t>
  </si>
  <si>
    <t>Xt6</t>
  </si>
  <si>
    <t>Q5</t>
  </si>
  <si>
    <t>Telluride</t>
  </si>
  <si>
    <t>CR-V</t>
  </si>
  <si>
    <t>Prius</t>
  </si>
  <si>
    <t>Tacoma 4WD MT</t>
  </si>
  <si>
    <t>X5 xDrive40i 3.0L 6Cyl</t>
  </si>
  <si>
    <t>XT6 Base</t>
  </si>
  <si>
    <t>Q5 Base</t>
  </si>
  <si>
    <t>Telluride AWD</t>
  </si>
  <si>
    <t>CR-V AWD ICEV</t>
  </si>
  <si>
    <t>4 Series 430i Coupe 2.0L 4Cyl</t>
  </si>
  <si>
    <t>4 Series</t>
  </si>
  <si>
    <t>Prius AWD</t>
  </si>
  <si>
    <t>Outback AWD 2.5L 4Cyl</t>
  </si>
  <si>
    <t xml:space="preserve">Subaru </t>
  </si>
  <si>
    <t>Outback AWD</t>
  </si>
  <si>
    <t>Corolla FWD</t>
  </si>
  <si>
    <t>Corolla 2.0L 4Cyl</t>
  </si>
  <si>
    <t>Camry</t>
  </si>
  <si>
    <t>Camry LE/SE</t>
  </si>
  <si>
    <t xml:space="preserve">Honda </t>
  </si>
  <si>
    <t>Odyssey</t>
  </si>
  <si>
    <t>Odyssey Base</t>
  </si>
  <si>
    <t xml:space="preserve">Ford </t>
  </si>
  <si>
    <t>Fusion FWD</t>
  </si>
  <si>
    <t>Fusion FWD 2.5L</t>
  </si>
  <si>
    <t>Rogue AWD</t>
  </si>
  <si>
    <t>Tucson AWD</t>
  </si>
  <si>
    <t>Crosstrek Base</t>
  </si>
  <si>
    <t>Crosstrek AWD</t>
  </si>
  <si>
    <t>Maverick AWD</t>
  </si>
  <si>
    <t>Elantra</t>
  </si>
  <si>
    <t>Elantra Base</t>
  </si>
  <si>
    <t>Jeep</t>
  </si>
  <si>
    <t>Wrangler</t>
  </si>
  <si>
    <t>Wrangler 2dr 4WD 2.0L 4Cyl</t>
  </si>
  <si>
    <t>GMC</t>
  </si>
  <si>
    <t>Sierra</t>
  </si>
  <si>
    <t>Sierra 4WD ICEV 5.3L 8Cyl</t>
  </si>
  <si>
    <t>Mazda</t>
  </si>
  <si>
    <t>3 4Dr</t>
  </si>
  <si>
    <t>3 4-door 2WD</t>
  </si>
  <si>
    <t xml:space="preserve">Mazda </t>
  </si>
  <si>
    <t>Cx-30</t>
  </si>
  <si>
    <t>Cx-30 Base</t>
  </si>
  <si>
    <t>Q6 E-Tron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</si>
</sst>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3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0" xfId="0" applyFont="1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4D3BD-D560-1E4E-BDDE-2D1BA0C2D609}">
  <dimension ref="A1:Q62"/>
  <sheetViews>
    <sheetView tabSelected="1" zoomScale="119" workbookViewId="0">
      <selection activeCell="C15" sqref="C15"/>
    </sheetView>
  </sheetViews>
  <sheetFormatPr baseColWidth="10" defaultRowHeight="16" x14ac:dyDescent="0.2"/>
  <cols>
    <col min="1" max="1" width="11" style="1" bestFit="1" customWidth="1"/>
    <col min="2" max="2" width="35.33203125" style="1" bestFit="1" customWidth="1"/>
    <col min="3" max="3" width="24.5" style="1" customWidth="1"/>
    <col min="4" max="4" width="31.1640625" style="1" bestFit="1" customWidth="1"/>
    <col min="5" max="5" width="19.33203125" style="1" bestFit="1" customWidth="1"/>
    <col min="6" max="6" width="7.33203125" style="1" customWidth="1"/>
    <col min="7" max="7" width="26.83203125" style="1" bestFit="1" customWidth="1"/>
    <col min="8" max="8" width="19.83203125" style="1" bestFit="1" customWidth="1"/>
    <col min="9" max="9" width="16.83203125" style="1" bestFit="1" customWidth="1"/>
    <col min="10" max="16384" width="10.83203125" style="1"/>
  </cols>
  <sheetData>
    <row r="1" spans="1:9" s="3" customFormat="1" x14ac:dyDescent="0.2">
      <c r="A1" s="3" t="s">
        <v>0</v>
      </c>
      <c r="B1" s="3" t="s">
        <v>17</v>
      </c>
      <c r="C1" s="3" t="s">
        <v>14</v>
      </c>
      <c r="D1" s="3" t="s">
        <v>18</v>
      </c>
      <c r="E1" s="3" t="s">
        <v>31</v>
      </c>
      <c r="F1" s="3" t="s">
        <v>7</v>
      </c>
      <c r="G1" s="3" t="s">
        <v>8</v>
      </c>
      <c r="H1" s="3" t="s">
        <v>9</v>
      </c>
      <c r="I1" s="3" t="s">
        <v>10</v>
      </c>
    </row>
    <row r="2" spans="1:9" x14ac:dyDescent="0.2">
      <c r="A2" s="1" t="s">
        <v>127</v>
      </c>
      <c r="B2" s="1" t="s">
        <v>128</v>
      </c>
      <c r="C2" s="1">
        <v>41798</v>
      </c>
      <c r="D2" s="1" t="s">
        <v>129</v>
      </c>
      <c r="E2" s="1">
        <v>2023</v>
      </c>
      <c r="F2" s="1">
        <v>23170</v>
      </c>
      <c r="G2" s="1">
        <f>(H2+I2)*169400/1000/1000</f>
        <v>6.4710800000000006</v>
      </c>
      <c r="H2" s="1">
        <v>38.200000000000003</v>
      </c>
      <c r="I2" s="1">
        <v>0</v>
      </c>
    </row>
    <row r="3" spans="1:9" x14ac:dyDescent="0.2">
      <c r="A3" s="2" t="s">
        <v>25</v>
      </c>
      <c r="B3" s="2" t="s">
        <v>49</v>
      </c>
      <c r="C3" s="2">
        <v>42242</v>
      </c>
      <c r="D3" s="1" t="s">
        <v>98</v>
      </c>
      <c r="E3" s="1">
        <v>2023</v>
      </c>
      <c r="F3" s="1">
        <v>33045</v>
      </c>
      <c r="G3" s="1">
        <f>(H3+I3)*169400/1000/1000</f>
        <v>7.7246399999999991</v>
      </c>
      <c r="H3" s="1">
        <v>32.9</v>
      </c>
      <c r="I3" s="1">
        <v>12.7</v>
      </c>
    </row>
    <row r="4" spans="1:9" ht="17" customHeight="1" x14ac:dyDescent="0.2">
      <c r="A4" s="1" t="s">
        <v>19</v>
      </c>
      <c r="B4" s="1" t="s">
        <v>21</v>
      </c>
      <c r="C4" s="2">
        <v>44446</v>
      </c>
      <c r="D4" s="1" t="s">
        <v>22</v>
      </c>
      <c r="E4" s="1">
        <v>2021</v>
      </c>
      <c r="F4" s="1">
        <v>31620</v>
      </c>
      <c r="G4" s="1">
        <f>(H4+I4)*169400/1000/1000</f>
        <v>8.9104400000000012</v>
      </c>
      <c r="H4" s="1">
        <v>32.6</v>
      </c>
      <c r="I4" s="1">
        <v>20</v>
      </c>
    </row>
    <row r="5" spans="1:9" x14ac:dyDescent="0.2">
      <c r="A5" s="1" t="s">
        <v>19</v>
      </c>
      <c r="B5" s="1" t="s">
        <v>20</v>
      </c>
      <c r="C5" s="2">
        <v>44447</v>
      </c>
      <c r="D5" s="1" t="s">
        <v>24</v>
      </c>
      <c r="E5" s="1">
        <v>2021</v>
      </c>
      <c r="F5" s="1">
        <v>38220</v>
      </c>
      <c r="G5" s="1">
        <f>(H5+I5)*169400/1000/1000</f>
        <v>10.8416</v>
      </c>
      <c r="H5" s="1">
        <v>33</v>
      </c>
      <c r="I5" s="1">
        <v>31</v>
      </c>
    </row>
    <row r="6" spans="1:9" x14ac:dyDescent="0.2">
      <c r="A6" s="1" t="s">
        <v>2</v>
      </c>
      <c r="B6" s="1" t="s">
        <v>38</v>
      </c>
      <c r="C6" s="2">
        <v>45139</v>
      </c>
      <c r="D6" s="1" t="s">
        <v>40</v>
      </c>
      <c r="E6" s="1">
        <v>2025</v>
      </c>
      <c r="F6" s="1">
        <v>49585</v>
      </c>
      <c r="G6" s="1">
        <f>(H6+I6)*169400/1000/1000</f>
        <v>20.311060000000001</v>
      </c>
      <c r="H6" s="1">
        <v>75.3</v>
      </c>
      <c r="I6" s="1">
        <v>44.6</v>
      </c>
    </row>
    <row r="7" spans="1:9" x14ac:dyDescent="0.2">
      <c r="A7" s="2" t="s">
        <v>4</v>
      </c>
      <c r="B7" s="2" t="s">
        <v>46</v>
      </c>
      <c r="C7" s="2">
        <v>45750</v>
      </c>
      <c r="D7" s="1" t="s">
        <v>46</v>
      </c>
      <c r="E7" s="1">
        <v>2023</v>
      </c>
      <c r="F7" s="1">
        <v>27200</v>
      </c>
      <c r="G7" s="1">
        <f>(H7+I7)*169400/1000/1000</f>
        <v>10.73996</v>
      </c>
      <c r="H7" s="1">
        <v>30.9</v>
      </c>
      <c r="I7" s="1">
        <v>32.5</v>
      </c>
    </row>
    <row r="8" spans="1:9" x14ac:dyDescent="0.2">
      <c r="A8" s="2" t="s">
        <v>44</v>
      </c>
      <c r="B8" s="2" t="s">
        <v>45</v>
      </c>
      <c r="C8" s="2">
        <v>45751</v>
      </c>
      <c r="D8" s="1" t="s">
        <v>45</v>
      </c>
      <c r="E8" s="1">
        <v>2023</v>
      </c>
      <c r="F8" s="1">
        <v>36500</v>
      </c>
      <c r="G8" s="1">
        <f>(H8+I8)*169400/1000/1000</f>
        <v>10.63832</v>
      </c>
      <c r="H8" s="1">
        <v>29.8</v>
      </c>
      <c r="I8" s="1">
        <v>33</v>
      </c>
    </row>
    <row r="9" spans="1:9" x14ac:dyDescent="0.2">
      <c r="A9" s="1" t="s">
        <v>118</v>
      </c>
      <c r="B9" s="1" t="s">
        <v>119</v>
      </c>
      <c r="C9" s="2">
        <v>46541</v>
      </c>
      <c r="D9" s="1" t="s">
        <v>117</v>
      </c>
      <c r="E9" s="1">
        <v>2025</v>
      </c>
      <c r="F9" s="1">
        <v>28895</v>
      </c>
      <c r="G9" s="1">
        <f>(H9+I9)*169400/1000/1000</f>
        <v>12.010460000000002</v>
      </c>
      <c r="H9" s="1">
        <v>70.900000000000006</v>
      </c>
      <c r="I9" s="1">
        <v>0</v>
      </c>
    </row>
    <row r="10" spans="1:9" x14ac:dyDescent="0.2">
      <c r="A10" s="1" t="s">
        <v>101</v>
      </c>
      <c r="B10" s="1" t="s">
        <v>102</v>
      </c>
      <c r="C10" s="2">
        <v>46544</v>
      </c>
      <c r="D10" s="1" t="s">
        <v>109</v>
      </c>
      <c r="E10" s="1">
        <v>2025</v>
      </c>
      <c r="F10" s="1">
        <v>68000</v>
      </c>
      <c r="G10" s="1">
        <f>(H10+I10)*169400/1000/1000</f>
        <v>15.855839999999999</v>
      </c>
      <c r="H10" s="1">
        <v>93.6</v>
      </c>
      <c r="I10" s="1">
        <v>0</v>
      </c>
    </row>
    <row r="11" spans="1:9" x14ac:dyDescent="0.2">
      <c r="A11" s="1" t="s">
        <v>52</v>
      </c>
      <c r="B11" s="1" t="s">
        <v>103</v>
      </c>
      <c r="C11" s="2">
        <v>46689</v>
      </c>
      <c r="D11" s="1" t="s">
        <v>110</v>
      </c>
      <c r="E11" s="1">
        <v>2025</v>
      </c>
      <c r="F11" s="1">
        <v>51195</v>
      </c>
      <c r="G11" s="1">
        <f>(H11+I11)*169400/1000/1000</f>
        <v>14.0602</v>
      </c>
      <c r="H11" s="1">
        <v>83</v>
      </c>
      <c r="I11" s="1">
        <v>0</v>
      </c>
    </row>
    <row r="12" spans="1:9" x14ac:dyDescent="0.2">
      <c r="A12" s="1" t="s">
        <v>63</v>
      </c>
      <c r="B12" s="1" t="s">
        <v>104</v>
      </c>
      <c r="C12" s="2">
        <v>46701</v>
      </c>
      <c r="D12" s="1" t="s">
        <v>111</v>
      </c>
      <c r="E12" s="1">
        <v>2025</v>
      </c>
      <c r="F12" s="1">
        <v>45400</v>
      </c>
      <c r="G12" s="1">
        <f>(H12+I12)*169400/1000/1000</f>
        <v>13.24708</v>
      </c>
      <c r="H12" s="1">
        <v>78.2</v>
      </c>
      <c r="I12" s="1">
        <v>0</v>
      </c>
    </row>
    <row r="13" spans="1:9" x14ac:dyDescent="0.2">
      <c r="A13" s="1" t="s">
        <v>32</v>
      </c>
      <c r="B13" s="1" t="s">
        <v>106</v>
      </c>
      <c r="C13" s="2">
        <v>46716</v>
      </c>
      <c r="D13" s="1" t="s">
        <v>113</v>
      </c>
      <c r="E13" s="1">
        <v>2025</v>
      </c>
      <c r="F13" s="1">
        <v>31600</v>
      </c>
      <c r="G13" s="1">
        <f>(H13+I13)*169400/1000/1000</f>
        <v>11.99352</v>
      </c>
      <c r="H13" s="1">
        <v>70.8</v>
      </c>
      <c r="I13" s="1">
        <v>0</v>
      </c>
    </row>
    <row r="14" spans="1:9" x14ac:dyDescent="0.2">
      <c r="A14" s="1" t="s">
        <v>4</v>
      </c>
      <c r="B14" s="1" t="s">
        <v>5</v>
      </c>
      <c r="C14" s="2">
        <v>46823</v>
      </c>
      <c r="D14" s="1" t="s">
        <v>43</v>
      </c>
      <c r="E14" s="1">
        <v>2025</v>
      </c>
      <c r="F14" s="1">
        <v>52495</v>
      </c>
      <c r="G14" s="1">
        <f>(H14+I14)*169400/1000/1000</f>
        <v>16.093</v>
      </c>
      <c r="H14" s="1">
        <v>95</v>
      </c>
      <c r="I14" s="1">
        <v>0</v>
      </c>
    </row>
    <row r="15" spans="1:9" x14ac:dyDescent="0.2">
      <c r="A15" s="1" t="s">
        <v>3</v>
      </c>
      <c r="B15" s="1" t="s">
        <v>13</v>
      </c>
      <c r="C15" s="2">
        <v>46853</v>
      </c>
      <c r="D15" s="1" t="s">
        <v>41</v>
      </c>
      <c r="E15" s="1">
        <v>2024</v>
      </c>
      <c r="F15" s="1">
        <v>44125</v>
      </c>
      <c r="G15" s="1">
        <f>(H15+I15)*169400/1000/1000</f>
        <v>15.398460000000004</v>
      </c>
      <c r="H15" s="1">
        <v>90.9</v>
      </c>
      <c r="I15" s="1">
        <v>0</v>
      </c>
    </row>
    <row r="16" spans="1:9" x14ac:dyDescent="0.2">
      <c r="A16" s="2" t="s">
        <v>47</v>
      </c>
      <c r="B16" s="2" t="s">
        <v>78</v>
      </c>
      <c r="C16" s="2">
        <v>46962</v>
      </c>
      <c r="D16" s="1" t="s">
        <v>79</v>
      </c>
      <c r="E16" s="1">
        <v>2025</v>
      </c>
      <c r="F16" s="1">
        <v>41650</v>
      </c>
      <c r="G16" s="1">
        <f>(H16+I16)*169400/1000/1000</f>
        <v>18.854220000000002</v>
      </c>
      <c r="H16" s="1">
        <v>73.3</v>
      </c>
      <c r="I16" s="1">
        <v>38</v>
      </c>
    </row>
    <row r="17" spans="1:17" x14ac:dyDescent="0.2">
      <c r="A17" s="2" t="s">
        <v>30</v>
      </c>
      <c r="B17" s="2" t="s">
        <v>77</v>
      </c>
      <c r="C17" s="2">
        <v>46967</v>
      </c>
      <c r="D17" s="2" t="s">
        <v>77</v>
      </c>
      <c r="E17" s="2">
        <v>2025</v>
      </c>
      <c r="F17" s="2">
        <v>40975</v>
      </c>
      <c r="G17" s="1">
        <f>(H17+I17)*169400/1000/1000</f>
        <v>16.330159999999999</v>
      </c>
      <c r="H17" s="2">
        <v>64.599999999999994</v>
      </c>
      <c r="I17" s="2">
        <v>31.8</v>
      </c>
    </row>
    <row r="18" spans="1:17" x14ac:dyDescent="0.2">
      <c r="A18" s="1" t="s">
        <v>30</v>
      </c>
      <c r="B18" s="1" t="s">
        <v>29</v>
      </c>
      <c r="C18" s="2">
        <v>46969</v>
      </c>
      <c r="D18" s="1" t="s">
        <v>76</v>
      </c>
      <c r="E18" s="1">
        <v>2025</v>
      </c>
      <c r="F18" s="1">
        <v>49850</v>
      </c>
      <c r="G18" s="1">
        <f>(H18+I18)*169400/1000/1000</f>
        <v>19.46406</v>
      </c>
      <c r="H18" s="1">
        <v>76.900000000000006</v>
      </c>
      <c r="I18" s="1">
        <v>38</v>
      </c>
    </row>
    <row r="19" spans="1:17" x14ac:dyDescent="0.2">
      <c r="A19" s="1" t="s">
        <v>32</v>
      </c>
      <c r="B19" s="1" t="s">
        <v>23</v>
      </c>
      <c r="C19" s="2">
        <v>47068</v>
      </c>
      <c r="D19" s="1" t="s">
        <v>72</v>
      </c>
      <c r="E19" s="1">
        <v>2025</v>
      </c>
      <c r="F19" s="1">
        <v>24250</v>
      </c>
      <c r="G19" s="1">
        <f>(H19+I19)*169400/1000/1000</f>
        <v>10.01154</v>
      </c>
      <c r="H19" s="1">
        <v>59.1</v>
      </c>
      <c r="I19" s="1">
        <v>0</v>
      </c>
    </row>
    <row r="20" spans="1:17" x14ac:dyDescent="0.2">
      <c r="A20" s="1" t="s">
        <v>99</v>
      </c>
      <c r="B20" s="1" t="s">
        <v>122</v>
      </c>
      <c r="C20" s="2">
        <v>47090</v>
      </c>
      <c r="D20" s="1" t="s">
        <v>123</v>
      </c>
      <c r="E20" s="1">
        <v>2025</v>
      </c>
      <c r="F20" s="1">
        <v>26420</v>
      </c>
      <c r="G20" s="1">
        <f>(H20+I20)*169400/1000/1000</f>
        <v>11.078760000000003</v>
      </c>
      <c r="H20" s="1">
        <v>65.400000000000006</v>
      </c>
      <c r="I20" s="1">
        <v>0</v>
      </c>
    </row>
    <row r="21" spans="1:17" ht="17" customHeight="1" x14ac:dyDescent="0.2">
      <c r="A21" s="1" t="s">
        <v>143</v>
      </c>
      <c r="B21" s="1" t="s">
        <v>144</v>
      </c>
      <c r="C21" s="2">
        <v>47330</v>
      </c>
      <c r="D21" s="1" t="s">
        <v>145</v>
      </c>
      <c r="E21" s="1">
        <v>2025</v>
      </c>
      <c r="F21" s="1">
        <v>23950</v>
      </c>
      <c r="G21" s="1">
        <f>(H21+I21)*169400/1000/1000</f>
        <v>10.55362</v>
      </c>
      <c r="H21" s="1">
        <v>62.3</v>
      </c>
      <c r="I21" s="1">
        <v>0</v>
      </c>
    </row>
    <row r="22" spans="1:17" x14ac:dyDescent="0.2">
      <c r="A22" s="1" t="s">
        <v>99</v>
      </c>
      <c r="B22" s="1" t="s">
        <v>120</v>
      </c>
      <c r="C22" s="2">
        <v>47343</v>
      </c>
      <c r="D22" s="1" t="s">
        <v>121</v>
      </c>
      <c r="E22" s="1">
        <v>2025</v>
      </c>
      <c r="F22" s="1">
        <v>22175</v>
      </c>
      <c r="G22" s="1">
        <f>(H22+I22)*169400/1000/1000</f>
        <v>10.367280000000001</v>
      </c>
      <c r="H22" s="1">
        <v>61.2</v>
      </c>
      <c r="I22" s="1">
        <v>0</v>
      </c>
    </row>
    <row r="23" spans="1:17" x14ac:dyDescent="0.2">
      <c r="A23" s="1" t="s">
        <v>6</v>
      </c>
      <c r="B23" s="1" t="s">
        <v>16</v>
      </c>
      <c r="C23" s="2">
        <v>47387</v>
      </c>
      <c r="D23" s="1" t="s">
        <v>16</v>
      </c>
      <c r="E23" s="1">
        <v>2025</v>
      </c>
      <c r="F23" s="1">
        <v>28675</v>
      </c>
      <c r="G23" s="1">
        <f>(H23+I23)*169400/1000/1000</f>
        <v>11.248160000000002</v>
      </c>
      <c r="H23" s="1">
        <v>66.400000000000006</v>
      </c>
      <c r="I23" s="1">
        <v>0</v>
      </c>
    </row>
    <row r="24" spans="1:17" x14ac:dyDescent="0.2">
      <c r="A24" s="2" t="s">
        <v>30</v>
      </c>
      <c r="B24" s="2" t="s">
        <v>96</v>
      </c>
      <c r="C24" s="2">
        <v>47452</v>
      </c>
      <c r="D24" s="1" t="s">
        <v>97</v>
      </c>
      <c r="E24" s="1">
        <v>2025</v>
      </c>
      <c r="F24" s="1">
        <v>61395</v>
      </c>
      <c r="G24" s="1">
        <f>(H24+I24)*169400/1000/1000</f>
        <v>23.309439999999999</v>
      </c>
      <c r="H24" s="1">
        <v>88.6</v>
      </c>
      <c r="I24" s="1">
        <v>49</v>
      </c>
    </row>
    <row r="25" spans="1:17" x14ac:dyDescent="0.2">
      <c r="A25" s="1" t="s">
        <v>19</v>
      </c>
      <c r="B25" s="1" t="s">
        <v>130</v>
      </c>
      <c r="C25" s="2">
        <v>47665</v>
      </c>
      <c r="D25" s="1" t="s">
        <v>130</v>
      </c>
      <c r="E25" s="1">
        <v>2025</v>
      </c>
      <c r="F25" s="1">
        <v>32720</v>
      </c>
      <c r="G25" s="1">
        <f>(H25+I25)*169400/1000/1000</f>
        <v>11.55308</v>
      </c>
      <c r="H25" s="1">
        <v>68.2</v>
      </c>
      <c r="I25" s="1">
        <v>0</v>
      </c>
    </row>
    <row r="26" spans="1:17" x14ac:dyDescent="0.2">
      <c r="A26" s="1" t="s">
        <v>61</v>
      </c>
      <c r="B26" s="1" t="s">
        <v>115</v>
      </c>
      <c r="C26" s="2">
        <v>47765</v>
      </c>
      <c r="D26" s="1" t="s">
        <v>114</v>
      </c>
      <c r="E26" s="1">
        <v>2025</v>
      </c>
      <c r="F26" s="1">
        <v>50700</v>
      </c>
      <c r="G26" s="1">
        <f>(H26+I26)*169400/1000/1000</f>
        <v>12.1121</v>
      </c>
      <c r="H26" s="1">
        <v>71.5</v>
      </c>
      <c r="I26" s="1">
        <v>0</v>
      </c>
    </row>
    <row r="27" spans="1:17" x14ac:dyDescent="0.2">
      <c r="A27" s="1" t="s">
        <v>25</v>
      </c>
      <c r="B27" s="1" t="s">
        <v>131</v>
      </c>
      <c r="C27" s="2">
        <v>47793</v>
      </c>
      <c r="D27" s="1" t="s">
        <v>131</v>
      </c>
      <c r="E27" s="1">
        <v>2025</v>
      </c>
      <c r="F27" s="1">
        <v>29855</v>
      </c>
      <c r="G27" s="1">
        <f>(H27+I27)*169400/1000/1000</f>
        <v>12.010460000000002</v>
      </c>
      <c r="H27" s="1">
        <v>70.900000000000006</v>
      </c>
      <c r="I27" s="1">
        <v>0</v>
      </c>
    </row>
    <row r="28" spans="1:17" x14ac:dyDescent="0.2">
      <c r="A28" s="1" t="s">
        <v>4</v>
      </c>
      <c r="B28" s="1" t="s">
        <v>75</v>
      </c>
      <c r="C28" s="2">
        <v>47815</v>
      </c>
      <c r="D28" s="1" t="s">
        <v>75</v>
      </c>
      <c r="E28" s="1">
        <v>2025</v>
      </c>
      <c r="F28" s="1">
        <v>49400</v>
      </c>
      <c r="G28" s="1">
        <f>(H28+I28)*169400/1000/1000</f>
        <v>21.632380000000001</v>
      </c>
      <c r="H28" s="1">
        <v>86</v>
      </c>
      <c r="I28" s="1">
        <v>41.7</v>
      </c>
      <c r="J28" s="2"/>
      <c r="K28" s="2"/>
      <c r="L28" s="2"/>
      <c r="M28" s="2"/>
      <c r="N28" s="2"/>
      <c r="O28" s="2"/>
      <c r="P28" s="2"/>
      <c r="Q28" s="2"/>
    </row>
    <row r="29" spans="1:17" x14ac:dyDescent="0.2">
      <c r="A29" s="1" t="s">
        <v>2</v>
      </c>
      <c r="B29" s="4" t="s">
        <v>68</v>
      </c>
      <c r="C29" s="2">
        <v>47821</v>
      </c>
      <c r="D29" s="1" t="s">
        <v>69</v>
      </c>
      <c r="E29" s="1">
        <v>2025</v>
      </c>
      <c r="F29" s="1">
        <v>70090</v>
      </c>
      <c r="G29" s="1">
        <f>(H29+I29)*169400/1000/1000</f>
        <v>28.340620000000001</v>
      </c>
      <c r="H29" s="1">
        <v>103</v>
      </c>
      <c r="I29" s="1">
        <v>64.3</v>
      </c>
    </row>
    <row r="30" spans="1:17" x14ac:dyDescent="0.2">
      <c r="A30" s="2" t="s">
        <v>32</v>
      </c>
      <c r="B30" s="2" t="s">
        <v>50</v>
      </c>
      <c r="C30" s="1">
        <v>47828</v>
      </c>
      <c r="D30" s="1" t="s">
        <v>81</v>
      </c>
      <c r="E30" s="1">
        <v>2025</v>
      </c>
      <c r="F30" s="1">
        <v>47400</v>
      </c>
      <c r="G30" s="1">
        <f>(H30+I30)*169400/1000/1000</f>
        <v>21.208880000000001</v>
      </c>
      <c r="H30" s="1">
        <v>83.5</v>
      </c>
      <c r="I30" s="1">
        <v>41.7</v>
      </c>
    </row>
    <row r="31" spans="1:17" x14ac:dyDescent="0.2">
      <c r="A31" s="2" t="s">
        <v>54</v>
      </c>
      <c r="B31" s="2" t="s">
        <v>55</v>
      </c>
      <c r="C31" s="2">
        <v>47832</v>
      </c>
      <c r="D31" s="1" t="s">
        <v>84</v>
      </c>
      <c r="E31" s="1">
        <v>2025</v>
      </c>
      <c r="F31" s="1">
        <v>54000</v>
      </c>
      <c r="G31" s="1">
        <f>(H31+I31)*169400/1000/1000</f>
        <v>18.481540000000003</v>
      </c>
      <c r="H31" s="1">
        <v>73.400000000000006</v>
      </c>
      <c r="I31" s="1">
        <v>35.700000000000003</v>
      </c>
    </row>
    <row r="32" spans="1:17" x14ac:dyDescent="0.2">
      <c r="A32" s="2" t="s">
        <v>19</v>
      </c>
      <c r="B32" s="2" t="s">
        <v>51</v>
      </c>
      <c r="C32" s="2">
        <v>47853</v>
      </c>
      <c r="D32" s="1" t="s">
        <v>82</v>
      </c>
      <c r="E32" s="1">
        <v>2025</v>
      </c>
      <c r="F32" s="1">
        <v>39590</v>
      </c>
      <c r="G32" s="1">
        <f>(H32+I32)*169400/1000/1000</f>
        <v>19.684279999999994</v>
      </c>
      <c r="H32" s="1">
        <v>85.3</v>
      </c>
      <c r="I32" s="1">
        <v>30.9</v>
      </c>
    </row>
    <row r="33" spans="1:9" x14ac:dyDescent="0.2">
      <c r="A33" s="1" t="s">
        <v>66</v>
      </c>
      <c r="B33" s="1" t="s">
        <v>135</v>
      </c>
      <c r="C33" s="2">
        <v>48019</v>
      </c>
      <c r="D33" s="1" t="s">
        <v>136</v>
      </c>
      <c r="E33" s="1">
        <v>2025</v>
      </c>
      <c r="F33" s="1">
        <v>21875</v>
      </c>
      <c r="G33" s="1">
        <f>(H33+I33)*169400/1000/1000</f>
        <v>9.4186399999999999</v>
      </c>
      <c r="H33" s="1">
        <v>55.6</v>
      </c>
      <c r="I33" s="1">
        <v>0</v>
      </c>
    </row>
    <row r="34" spans="1:9" x14ac:dyDescent="0.2">
      <c r="A34" s="1" t="s">
        <v>4</v>
      </c>
      <c r="B34" s="1" t="s">
        <v>27</v>
      </c>
      <c r="C34" s="2">
        <v>48089</v>
      </c>
      <c r="D34" s="1" t="s">
        <v>28</v>
      </c>
      <c r="E34" s="1">
        <v>2025</v>
      </c>
      <c r="F34" s="1">
        <v>30600</v>
      </c>
      <c r="G34" s="1">
        <f>(H34+I34)*169400/1000/1000</f>
        <v>11.841060000000001</v>
      </c>
      <c r="H34" s="1">
        <v>69.900000000000006</v>
      </c>
      <c r="I34" s="1">
        <v>0</v>
      </c>
    </row>
    <row r="35" spans="1:9" x14ac:dyDescent="0.2">
      <c r="A35" s="2" t="s">
        <v>66</v>
      </c>
      <c r="B35" s="2" t="s">
        <v>67</v>
      </c>
      <c r="C35" s="2">
        <v>48093</v>
      </c>
      <c r="D35" s="1" t="s">
        <v>74</v>
      </c>
      <c r="E35" s="1">
        <v>2025</v>
      </c>
      <c r="F35" s="1">
        <v>25850</v>
      </c>
      <c r="G35" s="1">
        <f>(H35+I35)*169400/1000/1000</f>
        <v>10.350340000000001</v>
      </c>
      <c r="H35" s="1">
        <v>61.1</v>
      </c>
      <c r="I35" s="1">
        <v>0</v>
      </c>
    </row>
    <row r="36" spans="1:9" x14ac:dyDescent="0.2">
      <c r="A36" s="1" t="s">
        <v>140</v>
      </c>
      <c r="B36" s="1" t="s">
        <v>141</v>
      </c>
      <c r="C36" s="2">
        <v>48232</v>
      </c>
      <c r="D36" s="1" t="s">
        <v>142</v>
      </c>
      <c r="E36" s="1">
        <v>2025</v>
      </c>
      <c r="F36" s="1">
        <v>45585</v>
      </c>
      <c r="G36" s="1">
        <f>(H36+I36)*169400/1000/1000</f>
        <v>16.872240000000001</v>
      </c>
      <c r="H36" s="1">
        <v>99.6</v>
      </c>
      <c r="I36" s="1">
        <v>0</v>
      </c>
    </row>
    <row r="37" spans="1:9" x14ac:dyDescent="0.2">
      <c r="A37" s="1" t="s">
        <v>124</v>
      </c>
      <c r="B37" s="1" t="s">
        <v>125</v>
      </c>
      <c r="C37" s="2">
        <v>48254</v>
      </c>
      <c r="D37" s="1" t="s">
        <v>126</v>
      </c>
      <c r="E37" s="1">
        <v>2025</v>
      </c>
      <c r="F37" s="1">
        <v>41920</v>
      </c>
      <c r="G37" s="1">
        <f>(H37+I37)*169400/1000/1000</f>
        <v>14.517580000000001</v>
      </c>
      <c r="H37" s="1">
        <v>85.7</v>
      </c>
      <c r="I37" s="1">
        <v>0</v>
      </c>
    </row>
    <row r="38" spans="1:9" x14ac:dyDescent="0.2">
      <c r="A38" s="2" t="s">
        <v>61</v>
      </c>
      <c r="B38" s="2" t="s">
        <v>62</v>
      </c>
      <c r="C38" s="2">
        <v>48310</v>
      </c>
      <c r="D38" s="1" t="s">
        <v>92</v>
      </c>
      <c r="E38" s="1">
        <v>2025</v>
      </c>
      <c r="F38" s="5">
        <v>57900</v>
      </c>
      <c r="G38" s="1">
        <f>(H38+I38)*169400/1000/1000</f>
        <v>20.361879999999999</v>
      </c>
      <c r="H38" s="1">
        <v>79</v>
      </c>
      <c r="I38" s="1">
        <v>41.2</v>
      </c>
    </row>
    <row r="39" spans="1:9" x14ac:dyDescent="0.2">
      <c r="A39" s="2" t="s">
        <v>61</v>
      </c>
      <c r="B39" s="2" t="s">
        <v>64</v>
      </c>
      <c r="C39" s="2">
        <v>48333</v>
      </c>
      <c r="D39" s="1" t="s">
        <v>94</v>
      </c>
      <c r="E39" s="1">
        <v>2025</v>
      </c>
      <c r="F39" s="1">
        <v>88425</v>
      </c>
      <c r="G39" s="1">
        <f>(H39+I39)*169400/1000/1000</f>
        <v>25.088140000000003</v>
      </c>
      <c r="H39" s="1">
        <v>93.4</v>
      </c>
      <c r="I39" s="1">
        <v>54.7</v>
      </c>
    </row>
    <row r="40" spans="1:9" x14ac:dyDescent="0.2">
      <c r="A40" s="1" t="s">
        <v>25</v>
      </c>
      <c r="B40" s="1" t="s">
        <v>26</v>
      </c>
      <c r="C40" s="2">
        <v>48357</v>
      </c>
      <c r="D40" s="1" t="s">
        <v>73</v>
      </c>
      <c r="E40" s="1">
        <v>2025</v>
      </c>
      <c r="F40" s="1">
        <v>34270</v>
      </c>
      <c r="G40" s="1">
        <f>(H40+I40)*169400/1000/1000</f>
        <v>15.889719999999999</v>
      </c>
      <c r="H40" s="1">
        <v>62</v>
      </c>
      <c r="I40" s="1">
        <v>31.8</v>
      </c>
    </row>
    <row r="41" spans="1:9" x14ac:dyDescent="0.2">
      <c r="A41" s="2" t="s">
        <v>25</v>
      </c>
      <c r="B41" s="2" t="s">
        <v>48</v>
      </c>
      <c r="C41" s="2">
        <v>48361</v>
      </c>
      <c r="D41" s="1" t="s">
        <v>80</v>
      </c>
      <c r="E41" s="1">
        <v>2025</v>
      </c>
      <c r="F41" s="1">
        <v>38900</v>
      </c>
      <c r="G41" s="1">
        <f>(H41+I41)*169400/1000/1000</f>
        <v>19.091380000000001</v>
      </c>
      <c r="H41" s="1">
        <v>74.7</v>
      </c>
      <c r="I41" s="1">
        <v>38</v>
      </c>
    </row>
    <row r="42" spans="1:9" x14ac:dyDescent="0.2">
      <c r="A42" s="1" t="s">
        <v>19</v>
      </c>
      <c r="B42" s="1" t="s">
        <v>70</v>
      </c>
      <c r="C42" s="2">
        <v>48400</v>
      </c>
      <c r="D42" s="1" t="s">
        <v>71</v>
      </c>
      <c r="E42" s="1">
        <v>2025</v>
      </c>
      <c r="F42" s="1">
        <v>28140</v>
      </c>
      <c r="G42" s="1">
        <f>(H42+I42)*169400/1000/1000</f>
        <v>15.246</v>
      </c>
      <c r="H42" s="1">
        <v>70.400000000000006</v>
      </c>
      <c r="I42" s="1">
        <v>19.600000000000001</v>
      </c>
    </row>
    <row r="43" spans="1:9" x14ac:dyDescent="0.2">
      <c r="A43" s="1" t="s">
        <v>137</v>
      </c>
      <c r="B43" s="1" t="s">
        <v>138</v>
      </c>
      <c r="C43" s="2">
        <v>48530</v>
      </c>
      <c r="D43" s="1" t="s">
        <v>139</v>
      </c>
      <c r="E43" s="1">
        <v>2025</v>
      </c>
      <c r="F43" s="1">
        <v>36595</v>
      </c>
      <c r="G43" s="1">
        <f>(H43+I43)*169400/1000/1000</f>
        <v>13.060739999999997</v>
      </c>
      <c r="H43" s="1">
        <v>77.099999999999994</v>
      </c>
      <c r="I43" s="1">
        <v>0</v>
      </c>
    </row>
    <row r="44" spans="1:9" x14ac:dyDescent="0.2">
      <c r="A44" s="1" t="s">
        <v>30</v>
      </c>
      <c r="B44" s="1" t="s">
        <v>105</v>
      </c>
      <c r="C44" s="2">
        <v>48534</v>
      </c>
      <c r="D44" s="1" t="s">
        <v>112</v>
      </c>
      <c r="E44" s="1">
        <v>2025</v>
      </c>
      <c r="F44" s="1">
        <v>37585</v>
      </c>
      <c r="G44" s="1">
        <f>(H44+I44)*169400/1000/1000</f>
        <v>13.738339999999999</v>
      </c>
      <c r="H44" s="1">
        <v>81.099999999999994</v>
      </c>
      <c r="I44" s="1">
        <v>0</v>
      </c>
    </row>
    <row r="45" spans="1:9" x14ac:dyDescent="0.2">
      <c r="A45" s="1" t="s">
        <v>118</v>
      </c>
      <c r="B45" s="1" t="s">
        <v>133</v>
      </c>
      <c r="C45" s="2">
        <v>48543</v>
      </c>
      <c r="D45" s="1" t="s">
        <v>132</v>
      </c>
      <c r="E45" s="1">
        <v>2025</v>
      </c>
      <c r="F45" s="1">
        <v>27115</v>
      </c>
      <c r="G45" s="1">
        <f>(H45+I45)*169400/1000/1000</f>
        <v>10.977120000000001</v>
      </c>
      <c r="H45" s="1">
        <v>64.8</v>
      </c>
      <c r="I45" s="1">
        <v>0</v>
      </c>
    </row>
    <row r="46" spans="1:9" x14ac:dyDescent="0.2">
      <c r="A46" s="1" t="s">
        <v>146</v>
      </c>
      <c r="B46" s="1" t="s">
        <v>147</v>
      </c>
      <c r="C46" s="2">
        <v>48612</v>
      </c>
      <c r="D46" s="1" t="s">
        <v>148</v>
      </c>
      <c r="E46" s="1">
        <v>2025</v>
      </c>
      <c r="F46" s="1">
        <v>24995</v>
      </c>
      <c r="G46" s="1">
        <f>(H46+I46)*169400/1000/1000</f>
        <v>11.38368</v>
      </c>
      <c r="H46" s="1">
        <v>67.2</v>
      </c>
      <c r="I46" s="1">
        <v>0</v>
      </c>
    </row>
    <row r="47" spans="1:9" x14ac:dyDescent="0.2">
      <c r="A47" s="2" t="s">
        <v>63</v>
      </c>
      <c r="B47" s="2" t="s">
        <v>149</v>
      </c>
      <c r="C47" s="2">
        <v>48683</v>
      </c>
      <c r="D47" s="1" t="s">
        <v>93</v>
      </c>
      <c r="E47" s="1">
        <v>2025</v>
      </c>
      <c r="F47" s="1">
        <v>63800</v>
      </c>
      <c r="G47" s="1">
        <f>(H47+I47)*169400/1000/1000</f>
        <v>22.835120000000003</v>
      </c>
      <c r="H47" s="1">
        <v>85.7</v>
      </c>
      <c r="I47" s="1">
        <v>49.1</v>
      </c>
    </row>
    <row r="48" spans="1:9" x14ac:dyDescent="0.2">
      <c r="A48" s="2" t="s">
        <v>52</v>
      </c>
      <c r="B48" s="2" t="s">
        <v>53</v>
      </c>
      <c r="C48" s="2">
        <v>48691</v>
      </c>
      <c r="D48" s="1" t="s">
        <v>83</v>
      </c>
      <c r="E48" s="1">
        <v>2025</v>
      </c>
      <c r="F48" s="1">
        <v>57195</v>
      </c>
      <c r="G48" s="1">
        <f>(H48+I48)*169400/1000/1000</f>
        <v>24.15644</v>
      </c>
      <c r="H48" s="1">
        <v>92.6</v>
      </c>
      <c r="I48" s="1">
        <v>50</v>
      </c>
    </row>
    <row r="49" spans="1:9" x14ac:dyDescent="0.2">
      <c r="A49" s="2" t="s">
        <v>4</v>
      </c>
      <c r="B49" s="2" t="s">
        <v>65</v>
      </c>
      <c r="C49" s="2">
        <v>48698</v>
      </c>
      <c r="D49" s="1" t="s">
        <v>95</v>
      </c>
      <c r="E49" s="1">
        <v>2025</v>
      </c>
      <c r="F49" s="1">
        <v>55000</v>
      </c>
      <c r="G49" s="1">
        <f>(H49+I49)*169400/1000/1000</f>
        <v>40.994800000000005</v>
      </c>
      <c r="H49" s="1">
        <v>141</v>
      </c>
      <c r="I49" s="1">
        <v>101</v>
      </c>
    </row>
    <row r="50" spans="1:9" x14ac:dyDescent="0.2">
      <c r="A50" s="2" t="s">
        <v>56</v>
      </c>
      <c r="B50" s="2" t="s">
        <v>57</v>
      </c>
      <c r="C50" s="2">
        <v>48742</v>
      </c>
      <c r="D50" s="1" t="s">
        <v>85</v>
      </c>
      <c r="E50" s="1">
        <v>2025</v>
      </c>
      <c r="F50" s="1">
        <v>75900</v>
      </c>
      <c r="G50" s="1">
        <f>(H50+I50)*169400/1000/1000</f>
        <v>30.508939999999999</v>
      </c>
      <c r="H50" s="1">
        <v>107</v>
      </c>
      <c r="I50" s="1">
        <v>73.099999999999994</v>
      </c>
    </row>
    <row r="51" spans="1:9" x14ac:dyDescent="0.2">
      <c r="A51" s="2" t="s">
        <v>56</v>
      </c>
      <c r="B51" s="2" t="s">
        <v>58</v>
      </c>
      <c r="C51" s="2">
        <v>48752</v>
      </c>
      <c r="D51" s="1" t="s">
        <v>86</v>
      </c>
      <c r="E51" s="1">
        <v>2025</v>
      </c>
      <c r="F51" s="1">
        <v>85700</v>
      </c>
      <c r="G51" s="1">
        <f>(H51+I51)*169400/1000/1000</f>
        <v>31.372879999999999</v>
      </c>
      <c r="H51" s="1">
        <v>116</v>
      </c>
      <c r="I51" s="1">
        <v>69.2</v>
      </c>
    </row>
    <row r="52" spans="1:9" x14ac:dyDescent="0.2">
      <c r="A52" s="2" t="s">
        <v>59</v>
      </c>
      <c r="B52" s="2" t="s">
        <v>60</v>
      </c>
      <c r="C52" s="2">
        <v>48762</v>
      </c>
      <c r="D52" s="1" t="s">
        <v>91</v>
      </c>
      <c r="E52" s="1">
        <v>2025</v>
      </c>
      <c r="F52" s="1">
        <v>44995</v>
      </c>
      <c r="G52" s="1">
        <f>(H52+I52)*169400/1000/1000</f>
        <v>19.023619999999998</v>
      </c>
      <c r="H52" s="1">
        <v>76.599999999999994</v>
      </c>
      <c r="I52" s="1">
        <v>35.700000000000003</v>
      </c>
    </row>
    <row r="53" spans="1:9" x14ac:dyDescent="0.2">
      <c r="A53" s="1" t="s">
        <v>1</v>
      </c>
      <c r="B53" s="1" t="s">
        <v>11</v>
      </c>
      <c r="C53" s="1">
        <v>48771</v>
      </c>
      <c r="D53" s="1" t="s">
        <v>12</v>
      </c>
      <c r="E53" s="1">
        <v>2025</v>
      </c>
      <c r="F53" s="1">
        <v>47990</v>
      </c>
      <c r="G53" s="1">
        <f>(H53+I53)*169400/1000/1000</f>
        <v>18.888099999999998</v>
      </c>
      <c r="H53" s="1">
        <v>74.7</v>
      </c>
      <c r="I53" s="1">
        <v>36.799999999999997</v>
      </c>
    </row>
    <row r="54" spans="1:9" x14ac:dyDescent="0.2">
      <c r="A54" s="1" t="s">
        <v>6</v>
      </c>
      <c r="B54" s="1" t="s">
        <v>107</v>
      </c>
      <c r="C54" s="2">
        <v>48858</v>
      </c>
      <c r="D54" s="1" t="s">
        <v>116</v>
      </c>
      <c r="E54" s="1">
        <v>2025</v>
      </c>
      <c r="F54" s="1">
        <v>29350</v>
      </c>
      <c r="G54" s="1">
        <f>(H54+I54)*169400/1000/1000</f>
        <v>10.333399999999999</v>
      </c>
      <c r="H54" s="1">
        <v>61</v>
      </c>
      <c r="I54" s="1">
        <v>0</v>
      </c>
    </row>
    <row r="55" spans="1:9" x14ac:dyDescent="0.2">
      <c r="A55" s="1" t="s">
        <v>127</v>
      </c>
      <c r="B55" s="1" t="s">
        <v>134</v>
      </c>
      <c r="C55" s="2">
        <v>48874</v>
      </c>
      <c r="D55" s="1" t="s">
        <v>134</v>
      </c>
      <c r="E55" s="1">
        <v>2025</v>
      </c>
      <c r="F55" s="1">
        <v>34960</v>
      </c>
      <c r="G55" s="1">
        <f>(H55+I55)*169400/1000/1000</f>
        <v>11.99352</v>
      </c>
      <c r="H55" s="1">
        <v>70.8</v>
      </c>
      <c r="I55" s="1">
        <v>0</v>
      </c>
    </row>
    <row r="56" spans="1:9" x14ac:dyDescent="0.2">
      <c r="A56" s="1" t="s">
        <v>99</v>
      </c>
      <c r="B56" s="1" t="s">
        <v>100</v>
      </c>
      <c r="C56" s="2">
        <v>48877</v>
      </c>
      <c r="D56" s="1" t="s">
        <v>108</v>
      </c>
      <c r="E56" s="1">
        <v>2025</v>
      </c>
      <c r="F56" s="1">
        <v>38395</v>
      </c>
      <c r="G56" s="1">
        <f>(H56+I56)*169400/1000/1000</f>
        <v>15.279879999999999</v>
      </c>
      <c r="H56" s="1">
        <v>90.2</v>
      </c>
      <c r="I56" s="1">
        <v>0</v>
      </c>
    </row>
    <row r="57" spans="1:9" x14ac:dyDescent="0.2">
      <c r="A57" s="1" t="s">
        <v>2</v>
      </c>
      <c r="B57" s="1" t="s">
        <v>15</v>
      </c>
      <c r="C57" s="1">
        <v>48895</v>
      </c>
      <c r="D57" s="1" t="s">
        <v>42</v>
      </c>
      <c r="E57" s="1">
        <v>2025</v>
      </c>
      <c r="F57" s="1">
        <v>41980</v>
      </c>
      <c r="G57" s="1">
        <f>(H57+I57)*169400/1000/1000</f>
        <v>13.094620000000001</v>
      </c>
      <c r="H57" s="1">
        <v>77.3</v>
      </c>
      <c r="I57" s="1">
        <v>0</v>
      </c>
    </row>
    <row r="58" spans="1:9" x14ac:dyDescent="0.2">
      <c r="A58" s="1" t="s">
        <v>1</v>
      </c>
      <c r="B58" s="1" t="s">
        <v>34</v>
      </c>
      <c r="C58" s="1">
        <v>48996</v>
      </c>
      <c r="D58" s="1" t="s">
        <v>33</v>
      </c>
      <c r="E58" s="1">
        <v>2025</v>
      </c>
      <c r="F58" s="1">
        <v>54990</v>
      </c>
      <c r="G58" s="1">
        <f>(H58+I58)*169400/1000/1000</f>
        <v>18.346019999999999</v>
      </c>
      <c r="H58" s="1">
        <v>68.099999999999994</v>
      </c>
      <c r="I58" s="1">
        <v>40.200000000000003</v>
      </c>
    </row>
    <row r="59" spans="1:9" x14ac:dyDescent="0.2">
      <c r="A59" s="1" t="s">
        <v>1</v>
      </c>
      <c r="B59" s="1" t="s">
        <v>35</v>
      </c>
      <c r="C59" s="1">
        <v>49124</v>
      </c>
      <c r="D59" s="1" t="s">
        <v>39</v>
      </c>
      <c r="E59" s="1">
        <v>2025</v>
      </c>
      <c r="F59" s="1">
        <v>74990</v>
      </c>
      <c r="G59" s="1">
        <f>(H59+I59)*169400/1000/1000</f>
        <v>21.090299999999999</v>
      </c>
      <c r="H59" s="1">
        <v>75.400000000000006</v>
      </c>
      <c r="I59" s="1">
        <v>49.1</v>
      </c>
    </row>
    <row r="60" spans="1:9" x14ac:dyDescent="0.2">
      <c r="A60" s="1" t="s">
        <v>1</v>
      </c>
      <c r="B60" s="1" t="s">
        <v>37</v>
      </c>
      <c r="C60" s="1">
        <v>49125</v>
      </c>
      <c r="D60" s="1" t="s">
        <v>36</v>
      </c>
      <c r="E60" s="1">
        <v>2025</v>
      </c>
      <c r="F60" s="1">
        <v>79990</v>
      </c>
      <c r="G60" s="1">
        <f>(H60+I60)*169400/1000/1000</f>
        <v>22.835120000000003</v>
      </c>
      <c r="H60" s="1">
        <v>85.7</v>
      </c>
      <c r="I60" s="1">
        <v>49.1</v>
      </c>
    </row>
    <row r="61" spans="1:9" x14ac:dyDescent="0.2">
      <c r="A61" s="2" t="s">
        <v>6</v>
      </c>
      <c r="B61" s="2" t="s">
        <v>87</v>
      </c>
      <c r="C61" s="2">
        <v>49127</v>
      </c>
      <c r="D61" s="1" t="s">
        <v>88</v>
      </c>
      <c r="E61" s="1">
        <v>2025</v>
      </c>
      <c r="F61" s="1">
        <v>45150</v>
      </c>
      <c r="G61" s="1">
        <f>(H61+I61)*169400/1000/1000</f>
        <v>18.650939999999999</v>
      </c>
      <c r="H61" s="1">
        <v>74.400000000000006</v>
      </c>
      <c r="I61" s="1">
        <v>35.700000000000003</v>
      </c>
    </row>
    <row r="62" spans="1:9" x14ac:dyDescent="0.2">
      <c r="A62" s="2" t="s">
        <v>1</v>
      </c>
      <c r="B62" s="2" t="s">
        <v>89</v>
      </c>
      <c r="C62" s="2">
        <v>49152</v>
      </c>
      <c r="D62" s="1" t="s">
        <v>90</v>
      </c>
      <c r="E62" s="1">
        <v>2025</v>
      </c>
      <c r="F62" s="1">
        <v>82235</v>
      </c>
      <c r="G62" s="1">
        <f>(H62+I62)*169400/1000/1000</f>
        <v>28.679420000000004</v>
      </c>
      <c r="H62" s="1">
        <v>109</v>
      </c>
      <c r="I62" s="1">
        <v>60.3</v>
      </c>
    </row>
  </sheetData>
  <sortState xmlns:xlrd2="http://schemas.microsoft.com/office/spreadsheetml/2017/richdata2" ref="A2:I62">
    <sortCondition ref="C1:C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topsellingcars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Martino</dc:creator>
  <cp:lastModifiedBy>Julia Last</cp:lastModifiedBy>
  <dcterms:created xsi:type="dcterms:W3CDTF">2025-02-25T03:07:27Z</dcterms:created>
  <dcterms:modified xsi:type="dcterms:W3CDTF">2026-09-25T21:27:24Z</dcterms:modified>
</cp:coreProperties>
</file>